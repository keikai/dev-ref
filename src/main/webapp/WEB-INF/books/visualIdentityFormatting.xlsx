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otix\Keikai7Seo\excel-online-no-office\keikaiformatting\"/>
    </mc:Choice>
  </mc:AlternateContent>
  <xr:revisionPtr revIDLastSave="0" documentId="13_ncr:1_{A460146A-61F5-4BDB-8A07-A918EC91646A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Q2 2026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34" i="1"/>
  <c r="B33" i="1"/>
  <c r="B32" i="1"/>
  <c r="B31" i="1"/>
  <c r="B12" i="1"/>
  <c r="C12" i="1"/>
  <c r="D12" i="1"/>
  <c r="E12" i="1"/>
  <c r="B20" i="1"/>
  <c r="C20" i="1"/>
  <c r="D20" i="1"/>
  <c r="E20" i="1"/>
  <c r="F20" i="1"/>
  <c r="F12" i="1"/>
</calcChain>
</file>

<file path=xl/sharedStrings.xml><?xml version="1.0" encoding="utf-8"?>
<sst xmlns="http://schemas.openxmlformats.org/spreadsheetml/2006/main" count="48" uniqueCount="40">
  <si>
    <t>Reporting Period: Q2 2026 (Apr 1 – Jun 30, 2026)</t>
  </si>
  <si>
    <t>Report Date: June 22, 2026</t>
  </si>
  <si>
    <t>Table 1 — Revenue by Region (USD)</t>
  </si>
  <si>
    <t>Region</t>
  </si>
  <si>
    <t>Apr</t>
  </si>
  <si>
    <t>May</t>
  </si>
  <si>
    <t>Jun</t>
  </si>
  <si>
    <t>Q2 Total</t>
  </si>
  <si>
    <t>% of Total</t>
  </si>
  <si>
    <t>North America</t>
  </si>
  <si>
    <t>Europe</t>
  </si>
  <si>
    <t>Asia-Pacific</t>
  </si>
  <si>
    <t>Latin America</t>
  </si>
  <si>
    <t>Total</t>
  </si>
  <si>
    <t>Table 2 — Operating Expenses by Department (USD)</t>
  </si>
  <si>
    <t>Department</t>
  </si>
  <si>
    <t>Headcount</t>
  </si>
  <si>
    <t>Sales &amp; Marketing</t>
  </si>
  <si>
    <t>R&amp;D</t>
  </si>
  <si>
    <t>Operations</t>
  </si>
  <si>
    <t>G&amp;A</t>
  </si>
  <si>
    <t>Summary — Key Metrics (Q2 2026)</t>
  </si>
  <si>
    <t>Metric</t>
  </si>
  <si>
    <t>Value</t>
  </si>
  <si>
    <t>Source</t>
  </si>
  <si>
    <t>Total Revenue (Q2)</t>
  </si>
  <si>
    <t>Table 1</t>
  </si>
  <si>
    <t>Total Operating Expenses</t>
  </si>
  <si>
    <t>Table 2</t>
  </si>
  <si>
    <t>Net Operating Result</t>
  </si>
  <si>
    <t>Table 1 − Table 2</t>
  </si>
  <si>
    <t>Operating Margin</t>
  </si>
  <si>
    <t>Calculated</t>
  </si>
  <si>
    <t>Total Headcount</t>
  </si>
  <si>
    <t>Top Region by Revenue</t>
  </si>
  <si>
    <t>Report generated: June 22, 2026  |  Fiscal Quarter: Q2 2026</t>
  </si>
  <si>
    <t>Prepared by NOT-A Corp Finance Team  •  Reviewed by Office of the CFO  •  CONFIDENTIAL — Sample / Placeholder Data</t>
  </si>
  <si>
    <t>© 2026 NOT-A Corporation. All rights reserved.</t>
  </si>
  <si>
    <t>NOT-A CORP — QUARTERLY BUSINESS REVIEW</t>
  </si>
  <si>
    <t>This report summarizes financial and operational performance for the second quarter of fiscal year 2026.
All figures are placeholder sample data for demonstration purposes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</si>
</sst>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1"/>
      <color rgb="FF404040"/>
      <name val="Calibri"/>
    </font>
    <font>
      <i/>
      <sz val="10"/>
      <color rgb="FF808080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808080"/>
      <name val="Calibri"/>
    </font>
    <font>
      <i/>
      <sz val="11"/>
      <color rgb="FF808080"/>
      <name val="Calibri"/>
    </font>
    <font>
      <sz val="9"/>
      <color rgb="FF808080"/>
      <name val="Calibri"/>
    </font>
    <font>
      <i/>
      <sz val="9"/>
      <color rgb="FF808080"/>
      <name val="Calibri"/>
    </font>
    <font>
      <sz val="8"/>
      <color rgb="FFA6A6A6"/>
      <name val="Calibri"/>
    </font>
    <font>
      <sz val="11"/>
      <name val="Calibri"/>
      <family val="2"/>
      <scheme val="minor"/>
    </font>
    <font>
      <b/>
      <sz val="18"/>
      <color rgb="FF1F4E79"/>
      <name val="Calibri"/>
      <family val="2"/>
    </font>
    <font>
      <sz val="8"/>
      <color rgb="FF404040"/>
      <name val="Calibri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1F4E79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2" xfId="0" applyBorder="1"/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3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left" vertical="center"/>
    </xf>
    <xf numFmtId="164" fontId="0" fillId="0" borderId="6" xfId="0" applyNumberForma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164" fontId="0" fillId="0" borderId="10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11" fillId="0" borderId="5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vertical="top" wrapText="1"/>
    </xf>
    <xf numFmtId="0" fontId="14" fillId="0" borderId="0" xfId="0" applyFont="1"/>
  </cellXfs>
  <cellStyles count="1"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/>
        <top/>
        <bottom/>
      </border>
    </dxf>
    <dxf>
      <alignment horizontal="left" vertical="center" textRotation="0" wrapText="0" indent="0" justifyLastLine="0" shrinkToFit="0" readingOrder="0"/>
      <border diagonalUp="0" diagonalDown="0" outline="0">
        <left/>
        <right style="thin">
          <color rgb="FFBFBFBF"/>
        </right>
        <top/>
        <bottom/>
      </border>
    </dxf>
    <dxf>
      <font>
        <color theme="0"/>
      </font>
      <fill>
        <patternFill patternType="solid">
          <fgColor rgb="FFFFC7CE"/>
          <bgColor rgb="FFFF0000"/>
        </patternFill>
      </fill>
    </dxf>
    <dxf>
      <font>
        <color theme="0"/>
      </font>
      <fill>
        <patternFill patternType="solid">
          <fgColor rgb="FF007A06"/>
          <bgColor rgb="FF008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164" formatCode="0.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</dxfs>
  <tableStyles count="0" defaultTableStyle="TableStyleMedium9" defaultPivotStyle="PivotStyleLight16"/>
  <colors>
    <mruColors>
      <color rgb="FF008000"/>
      <color rgb="FF007A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413846</xdr:colOff>
      <xdr:row>20</xdr:row>
      <xdr:rowOff>223345</xdr:rowOff>
    </xdr:from>
    <xdr:to>
      <xdr:col>5</xdr:col>
      <xdr:colOff>157656</xdr:colOff>
      <xdr:row>25</xdr:row>
      <xdr:rowOff>118242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D89C88A-FA9C-F593-30D8-F26BB5114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8725" y="4427483"/>
          <a:ext cx="4000500" cy="1143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1019F8-8B8E-45CF-ACF3-009AAD063224}" name="Table5" displayName="Table5" ref="A7:F12" totalsRowCount="1" headerRowDxfId="24" dataDxfId="25" headerRowBorderDxfId="33" tableBorderDxfId="34" totalsRowBorderDxfId="32">
  <autoFilter ref="A7:F11" xr:uid="{9D1019F8-8B8E-45CF-ACF3-009AAD063224}"/>
  <tableColumns count="6">
    <tableColumn id="1" xr3:uid="{B1C65995-682F-4BD0-961E-361FC650B37C}" name="Region" totalsRowLabel="Total" dataDxfId="31" totalsRowDxfId="18"/>
    <tableColumn id="2" xr3:uid="{B9E58397-6E58-439B-A2AA-17463ACC73F9}" name="Apr" totalsRowFunction="sum" dataDxfId="30" totalsRowDxfId="19"/>
    <tableColumn id="3" xr3:uid="{BF8C580B-19C8-44EC-8E86-C85C1D44218E}" name="May" totalsRowFunction="sum" dataDxfId="29" totalsRowDxfId="20"/>
    <tableColumn id="4" xr3:uid="{58E74C2F-0906-4635-B40D-81096B1024C7}" name="Jun" totalsRowFunction="sum" dataDxfId="28" totalsRowDxfId="21"/>
    <tableColumn id="5" xr3:uid="{79FCF926-5981-49FC-A1B4-D4EAD535CCB1}" name="Q2 Total" totalsRowFunction="sum" dataDxfId="27" totalsRowDxfId="22"/>
    <tableColumn id="6" xr3:uid="{76649738-C96F-4E21-A7F8-140A9D71F984}" name="% of Total" totalsRowFunction="sum" dataDxfId="26" totalsRowDxfId="2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6D57514-EE45-4D08-BC36-32622354E95D}" name="Table7" displayName="Table7" ref="A15:F20" totalsRowCount="1" headerRowDxfId="10" headerRowBorderDxfId="16" tableBorderDxfId="17" totalsRowBorderDxfId="15">
  <autoFilter ref="A15:F19" xr:uid="{86D57514-EE45-4D08-BC36-32622354E95D}"/>
  <tableColumns count="6">
    <tableColumn id="1" xr3:uid="{663ECE7B-310B-4652-84FC-1F0FE60DA717}" name="Department" totalsRowLabel="Total" dataDxfId="14" totalsRowDxfId="7"/>
    <tableColumn id="2" xr3:uid="{1E88D789-B8E6-4AFD-BFAA-47F6B9FBF272}" name="Apr" totalsRowFunction="sum" dataDxfId="13" totalsRowDxfId="2"/>
    <tableColumn id="3" xr3:uid="{91DA1FDA-BE25-42CD-B77B-AA466EFCD9D3}" name="May" totalsRowFunction="sum" dataDxfId="1" totalsRowDxfId="3"/>
    <tableColumn id="4" xr3:uid="{09904484-5E29-44E6-8460-EC0CCC28CBE6}" name="Jun" totalsRowFunction="sum" dataDxfId="0" totalsRowDxfId="4"/>
    <tableColumn id="5" xr3:uid="{8778DD92-0F88-44FA-B153-3BA6DA8D7512}" name="Q2 Total" totalsRowFunction="sum" dataDxfId="12" totalsRowDxfId="5"/>
    <tableColumn id="6" xr3:uid="{37041548-F87A-4A35-A919-2BC2558D9F67}" name="Headcount" totalsRowFunction="sum" dataDxfId="11" totalsRow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showGridLines="0" tabSelected="1" zoomScaleNormal="100" workbookViewId="0">
      <selection activeCell="A4" sqref="A4:F4"/>
    </sheetView>
  </sheetViews>
  <sheetFormatPr defaultRowHeight="15" x14ac:dyDescent="0.25"/>
  <cols>
    <col min="1" max="1" width="22" customWidth="1"/>
    <col min="2" max="6" width="16" customWidth="1"/>
  </cols>
  <sheetData>
    <row r="1" spans="1:6" ht="30" customHeight="1" x14ac:dyDescent="0.25">
      <c r="A1" s="34" t="s">
        <v>38</v>
      </c>
      <c r="B1" s="8"/>
      <c r="C1" s="8"/>
      <c r="D1" s="8"/>
      <c r="E1" s="8"/>
      <c r="F1" s="8"/>
    </row>
    <row r="2" spans="1:6" x14ac:dyDescent="0.25">
      <c r="A2" s="16" t="s">
        <v>0</v>
      </c>
      <c r="B2" s="8"/>
      <c r="C2" s="8"/>
      <c r="D2" s="8"/>
      <c r="E2" s="8"/>
      <c r="F2" s="8"/>
    </row>
    <row r="3" spans="1:6" x14ac:dyDescent="0.25">
      <c r="A3" s="12" t="s">
        <v>1</v>
      </c>
      <c r="B3" s="8"/>
      <c r="C3" s="8"/>
      <c r="D3" s="8"/>
      <c r="E3" s="8"/>
      <c r="F3" s="8"/>
    </row>
    <row r="4" spans="1:6" ht="30" customHeight="1" x14ac:dyDescent="0.25">
      <c r="A4" s="35" t="s">
        <v>39</v>
      </c>
      <c r="B4" s="36"/>
      <c r="C4" s="36"/>
      <c r="D4" s="36"/>
      <c r="E4" s="36"/>
      <c r="F4" s="36"/>
    </row>
    <row r="5" spans="1:6" x14ac:dyDescent="0.25">
      <c r="A5" s="10"/>
      <c r="B5" s="8"/>
      <c r="C5" s="8"/>
      <c r="D5" s="8"/>
      <c r="E5" s="8"/>
      <c r="F5" s="8"/>
    </row>
    <row r="6" spans="1:6" ht="15.75" x14ac:dyDescent="0.25">
      <c r="A6" s="22" t="s">
        <v>2</v>
      </c>
      <c r="B6" s="23"/>
      <c r="C6" s="23"/>
      <c r="D6" s="23"/>
      <c r="E6" s="23"/>
      <c r="F6" s="23"/>
    </row>
    <row r="7" spans="1:6" x14ac:dyDescent="0.25">
      <c r="A7" s="26" t="s">
        <v>3</v>
      </c>
      <c r="B7" s="27" t="s">
        <v>4</v>
      </c>
      <c r="C7" s="27" t="s">
        <v>5</v>
      </c>
      <c r="D7" s="27" t="s">
        <v>6</v>
      </c>
      <c r="E7" s="27" t="s">
        <v>7</v>
      </c>
      <c r="F7" s="6" t="s">
        <v>8</v>
      </c>
    </row>
    <row r="8" spans="1:6" x14ac:dyDescent="0.25">
      <c r="A8" s="24" t="s">
        <v>9</v>
      </c>
      <c r="B8" s="2">
        <v>120000</v>
      </c>
      <c r="C8" s="2">
        <v>135000</v>
      </c>
      <c r="D8" s="2">
        <v>142000</v>
      </c>
      <c r="E8" s="2">
        <v>397000</v>
      </c>
      <c r="F8" s="25">
        <v>0.39939637826961771</v>
      </c>
    </row>
    <row r="9" spans="1:6" x14ac:dyDescent="0.25">
      <c r="A9" s="24" t="s">
        <v>10</v>
      </c>
      <c r="B9" s="2">
        <v>88000</v>
      </c>
      <c r="C9" s="2">
        <v>75000</v>
      </c>
      <c r="D9" s="2">
        <v>97000</v>
      </c>
      <c r="E9" s="2">
        <v>276000</v>
      </c>
      <c r="F9" s="25">
        <v>0.27766599597585512</v>
      </c>
    </row>
    <row r="10" spans="1:6" x14ac:dyDescent="0.25">
      <c r="A10" s="24" t="s">
        <v>11</v>
      </c>
      <c r="B10" s="2">
        <v>65000</v>
      </c>
      <c r="C10" s="2">
        <v>72000</v>
      </c>
      <c r="D10" s="2">
        <v>71000</v>
      </c>
      <c r="E10" s="2">
        <v>217000</v>
      </c>
      <c r="F10" s="25">
        <v>0.21830985915492959</v>
      </c>
    </row>
    <row r="11" spans="1:6" x14ac:dyDescent="0.25">
      <c r="A11" s="24" t="s">
        <v>12</v>
      </c>
      <c r="B11" s="2">
        <v>31000</v>
      </c>
      <c r="C11" s="2">
        <v>41000</v>
      </c>
      <c r="D11" s="2">
        <v>39000</v>
      </c>
      <c r="E11" s="2">
        <v>104000</v>
      </c>
      <c r="F11" s="25">
        <v>0.1046277665995976</v>
      </c>
    </row>
    <row r="12" spans="1:6" x14ac:dyDescent="0.25">
      <c r="A12" s="28" t="s">
        <v>13</v>
      </c>
      <c r="B12" s="31">
        <f>SUBTOTAL(109,Table5[Apr])</f>
        <v>304000</v>
      </c>
      <c r="C12" s="31">
        <f>SUBTOTAL(109,Table5[May])</f>
        <v>323000</v>
      </c>
      <c r="D12" s="31">
        <f>SUBTOTAL(109,Table5[Jun])</f>
        <v>349000</v>
      </c>
      <c r="E12" s="31">
        <f>SUBTOTAL(109,Table5[Q2 Total])</f>
        <v>994000</v>
      </c>
      <c r="F12" s="29">
        <f>SUBTOTAL(109,Table5[% of Total])</f>
        <v>1</v>
      </c>
    </row>
    <row r="13" spans="1:6" x14ac:dyDescent="0.25">
      <c r="A13" s="10"/>
      <c r="B13" s="8"/>
      <c r="C13" s="8"/>
      <c r="D13" s="8"/>
      <c r="E13" s="8"/>
      <c r="F13" s="8"/>
    </row>
    <row r="14" spans="1:6" ht="15.75" x14ac:dyDescent="0.25">
      <c r="A14" s="22" t="s">
        <v>14</v>
      </c>
      <c r="B14" s="23"/>
      <c r="C14" s="23"/>
      <c r="D14" s="23"/>
      <c r="E14" s="23"/>
      <c r="F14" s="23"/>
    </row>
    <row r="15" spans="1:6" x14ac:dyDescent="0.25">
      <c r="A15" s="26" t="s">
        <v>15</v>
      </c>
      <c r="B15" s="27" t="s">
        <v>4</v>
      </c>
      <c r="C15" s="27" t="s">
        <v>5</v>
      </c>
      <c r="D15" s="27" t="s">
        <v>6</v>
      </c>
      <c r="E15" s="27" t="s">
        <v>7</v>
      </c>
      <c r="F15" s="6" t="s">
        <v>16</v>
      </c>
    </row>
    <row r="16" spans="1:6" x14ac:dyDescent="0.25">
      <c r="A16" s="24" t="s">
        <v>17</v>
      </c>
      <c r="B16" s="2">
        <v>42000</v>
      </c>
      <c r="C16" s="7">
        <v>45000</v>
      </c>
      <c r="D16" s="7">
        <v>47000</v>
      </c>
      <c r="E16" s="2">
        <v>134000</v>
      </c>
      <c r="F16" s="30">
        <v>18</v>
      </c>
    </row>
    <row r="17" spans="1:6" x14ac:dyDescent="0.25">
      <c r="A17" s="24" t="s">
        <v>18</v>
      </c>
      <c r="B17" s="2">
        <v>55000</v>
      </c>
      <c r="C17" s="7">
        <v>52000</v>
      </c>
      <c r="D17" s="7">
        <v>58000</v>
      </c>
      <c r="E17" s="2">
        <v>169000</v>
      </c>
      <c r="F17" s="30">
        <v>24</v>
      </c>
    </row>
    <row r="18" spans="1:6" x14ac:dyDescent="0.25">
      <c r="A18" s="24" t="s">
        <v>19</v>
      </c>
      <c r="B18" s="2">
        <v>38000</v>
      </c>
      <c r="C18" s="7">
        <v>39000</v>
      </c>
      <c r="D18" s="7">
        <v>37000</v>
      </c>
      <c r="E18" s="2">
        <v>118000</v>
      </c>
      <c r="F18" s="30">
        <v>15</v>
      </c>
    </row>
    <row r="19" spans="1:6" x14ac:dyDescent="0.25">
      <c r="A19" s="28" t="s">
        <v>20</v>
      </c>
      <c r="B19" s="31">
        <v>22000</v>
      </c>
      <c r="C19" s="32">
        <v>23000</v>
      </c>
      <c r="D19" s="32">
        <v>24000</v>
      </c>
      <c r="E19" s="31">
        <v>69000</v>
      </c>
      <c r="F19" s="33">
        <v>9</v>
      </c>
    </row>
    <row r="20" spans="1:6" x14ac:dyDescent="0.25">
      <c r="A20" s="28" t="s">
        <v>13</v>
      </c>
      <c r="B20" s="31">
        <f>SUBTOTAL(109,Table7[Apr])</f>
        <v>157000</v>
      </c>
      <c r="C20" s="31">
        <f>SUBTOTAL(109,Table7[May])</f>
        <v>159000</v>
      </c>
      <c r="D20" s="31">
        <f>SUBTOTAL(109,Table7[Jun])</f>
        <v>166000</v>
      </c>
      <c r="E20" s="31">
        <f>SUBTOTAL(109,Table7[Q2 Total])</f>
        <v>490000</v>
      </c>
      <c r="F20" s="33">
        <f>SUBTOTAL(109,Table7[Headcount])</f>
        <v>66</v>
      </c>
    </row>
    <row r="21" spans="1:6" ht="20.100000000000001" customHeight="1" x14ac:dyDescent="0.25"/>
    <row r="22" spans="1:6" ht="20.100000000000001" customHeight="1" x14ac:dyDescent="0.25">
      <c r="A22" s="10"/>
      <c r="B22" s="8"/>
      <c r="C22" s="8"/>
      <c r="D22" s="8"/>
      <c r="E22" s="8"/>
      <c r="F22" s="8"/>
    </row>
    <row r="23" spans="1:6" ht="20.100000000000001" customHeight="1" x14ac:dyDescent="0.25"/>
    <row r="24" spans="1:6" ht="20.100000000000001" customHeight="1" x14ac:dyDescent="0.25"/>
    <row r="25" spans="1:6" ht="19.5" customHeight="1" x14ac:dyDescent="0.25"/>
    <row r="28" spans="1:6" x14ac:dyDescent="0.25">
      <c r="A28" s="10"/>
      <c r="B28" s="8"/>
      <c r="C28" s="8"/>
      <c r="D28" s="8"/>
      <c r="E28" s="8"/>
      <c r="F28" s="8"/>
    </row>
    <row r="29" spans="1:6" ht="15.75" x14ac:dyDescent="0.25">
      <c r="A29" s="9" t="s">
        <v>21</v>
      </c>
      <c r="B29" s="8"/>
      <c r="C29" s="8"/>
      <c r="D29" s="8"/>
      <c r="E29" s="8"/>
      <c r="F29" s="8"/>
    </row>
    <row r="30" spans="1:6" x14ac:dyDescent="0.25">
      <c r="A30" s="1" t="s">
        <v>22</v>
      </c>
      <c r="B30" s="1" t="s">
        <v>23</v>
      </c>
      <c r="C30" s="14" t="s">
        <v>24</v>
      </c>
      <c r="D30" s="15"/>
      <c r="E30" s="15"/>
      <c r="F30" s="15"/>
    </row>
    <row r="31" spans="1:6" x14ac:dyDescent="0.25">
      <c r="A31" s="5" t="s">
        <v>25</v>
      </c>
      <c r="B31" s="2">
        <f>Table5[[#Totals],[Q2 Total]]</f>
        <v>994000</v>
      </c>
      <c r="C31" s="19" t="s">
        <v>26</v>
      </c>
      <c r="D31" s="20"/>
      <c r="E31" s="20"/>
      <c r="F31" s="21"/>
    </row>
    <row r="32" spans="1:6" x14ac:dyDescent="0.25">
      <c r="A32" s="5" t="s">
        <v>27</v>
      </c>
      <c r="B32" s="2">
        <f>Table7[[#Totals],[Q2 Total]]</f>
        <v>490000</v>
      </c>
      <c r="C32" s="19" t="s">
        <v>28</v>
      </c>
      <c r="D32" s="20"/>
      <c r="E32" s="20"/>
      <c r="F32" s="21"/>
    </row>
    <row r="33" spans="1:6" x14ac:dyDescent="0.25">
      <c r="A33" s="5" t="s">
        <v>29</v>
      </c>
      <c r="B33" s="2">
        <f>Table5[[#Totals],[Q2 Total]]-Table7[[#Totals],[Q2 Total]]</f>
        <v>504000</v>
      </c>
      <c r="C33" s="19" t="s">
        <v>30</v>
      </c>
      <c r="D33" s="20"/>
      <c r="E33" s="20"/>
      <c r="F33" s="21"/>
    </row>
    <row r="34" spans="1:6" x14ac:dyDescent="0.25">
      <c r="A34" s="5" t="s">
        <v>31</v>
      </c>
      <c r="B34" s="3">
        <f>(E12-E20)/E12</f>
        <v>0.50704225352112675</v>
      </c>
      <c r="C34" s="19" t="s">
        <v>32</v>
      </c>
      <c r="D34" s="20"/>
      <c r="E34" s="20"/>
      <c r="F34" s="21"/>
    </row>
    <row r="35" spans="1:6" x14ac:dyDescent="0.25">
      <c r="A35" s="5" t="s">
        <v>33</v>
      </c>
      <c r="B35" s="2">
        <f>Table7[[#Totals],[Headcount]]</f>
        <v>66</v>
      </c>
      <c r="C35" s="19" t="s">
        <v>28</v>
      </c>
      <c r="D35" s="20"/>
      <c r="E35" s="20"/>
      <c r="F35" s="21"/>
    </row>
    <row r="36" spans="1:6" x14ac:dyDescent="0.25">
      <c r="A36" s="5" t="s">
        <v>34</v>
      </c>
      <c r="B36" s="4" t="s">
        <v>9</v>
      </c>
      <c r="C36" s="19" t="s">
        <v>26</v>
      </c>
      <c r="D36" s="20"/>
      <c r="E36" s="20"/>
      <c r="F36" s="21"/>
    </row>
    <row r="39" spans="1:6" x14ac:dyDescent="0.25">
      <c r="A39" s="13"/>
      <c r="B39" s="13"/>
      <c r="C39" s="13"/>
      <c r="D39" s="13"/>
      <c r="E39" s="13"/>
      <c r="F39" s="13"/>
    </row>
    <row r="40" spans="1:6" x14ac:dyDescent="0.25">
      <c r="A40" s="11" t="s">
        <v>35</v>
      </c>
      <c r="B40" s="8"/>
      <c r="C40" s="8"/>
      <c r="D40" s="8"/>
      <c r="E40" s="8"/>
      <c r="F40" s="8"/>
    </row>
    <row r="41" spans="1:6" x14ac:dyDescent="0.25">
      <c r="A41" s="17" t="s">
        <v>36</v>
      </c>
      <c r="B41" s="8"/>
      <c r="C41" s="8"/>
      <c r="D41" s="8"/>
      <c r="E41" s="8"/>
      <c r="F41" s="8"/>
    </row>
    <row r="42" spans="1:6" x14ac:dyDescent="0.25">
      <c r="A42" s="18" t="s">
        <v>37</v>
      </c>
      <c r="B42" s="8"/>
      <c r="C42" s="8"/>
      <c r="D42" s="8"/>
      <c r="E42" s="8"/>
      <c r="F42" s="8"/>
    </row>
  </sheetData>
  <mergeCells count="22">
    <mergeCell ref="A41:F41"/>
    <mergeCell ref="C31:F31"/>
    <mergeCell ref="A42:F42"/>
    <mergeCell ref="A14:F14"/>
    <mergeCell ref="C35:F35"/>
    <mergeCell ref="A28:F28"/>
    <mergeCell ref="A1:F1"/>
    <mergeCell ref="C34:F34"/>
    <mergeCell ref="A6:F6"/>
    <mergeCell ref="A22:F22"/>
    <mergeCell ref="A40:F40"/>
    <mergeCell ref="C33:F33"/>
    <mergeCell ref="A4:F4"/>
    <mergeCell ref="C32:F32"/>
    <mergeCell ref="A3:F3"/>
    <mergeCell ref="A39:F39"/>
    <mergeCell ref="A29:F29"/>
    <mergeCell ref="C30:F30"/>
    <mergeCell ref="C36:F36"/>
    <mergeCell ref="A2:F2"/>
    <mergeCell ref="A5:F5"/>
    <mergeCell ref="A13:F13"/>
  </mergeCells>
  <conditionalFormatting sqref="C8:D11 C16:D19">
    <cfRule type="expression" dxfId="9" priority="3">
      <formula>C8&gt;B8</formula>
    </cfRule>
    <cfRule type="expression" dxfId="8" priority="4">
      <formula>C8&lt;B8</formula>
    </cfRule>
  </conditionalFormatting>
  <pageMargins left="0.75" right="0.75" top="1" bottom="1" header="0.5" footer="0.5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 2026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matthieu duchemin</cp:lastModifiedBy>
  <dcterms:created xsi:type="dcterms:W3CDTF">2026-06-22T08:50:29Z</dcterms:created>
  <dcterms:modified xsi:type="dcterms:W3CDTF">2026-06-22T18:07:31Z</dcterms:modified>
</cp:coreProperties>
</file>